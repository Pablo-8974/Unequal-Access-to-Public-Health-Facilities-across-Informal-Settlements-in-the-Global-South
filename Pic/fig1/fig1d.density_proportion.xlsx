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<sst xmlns="http://schemas.openxmlformats.org/spreadsheetml/2006/main" count="98" uniqueCount="47">
  <si>
    <t>Southern Africa</t>
  </si>
  <si>
    <t>Proportion of informal settlement area</t>
  </si>
  <si>
    <t>Medical Facility Density per km2</t>
  </si>
  <si>
    <t>City</t>
  </si>
  <si>
    <t>Proportion/Density</t>
  </si>
  <si>
    <t>Abuja</t>
  </si>
  <si>
    <t>Windhoek</t>
  </si>
  <si>
    <t>Accra</t>
  </si>
  <si>
    <t>Alexandria</t>
  </si>
  <si>
    <t>Addis Ababa</t>
  </si>
  <si>
    <t>Cairo</t>
  </si>
  <si>
    <t>Blantyre</t>
  </si>
  <si>
    <t>Casablanca</t>
  </si>
  <si>
    <t>Cape Town</t>
  </si>
  <si>
    <t>Caracas</t>
  </si>
  <si>
    <t>Dar es Salaam</t>
  </si>
  <si>
    <t>Port-au-Prince</t>
  </si>
  <si>
    <t>Durban</t>
  </si>
  <si>
    <t>Porto Alegre</t>
  </si>
  <si>
    <t>Gqeberha</t>
  </si>
  <si>
    <t>Rio de Janeiro</t>
  </si>
  <si>
    <t>Johannesburg/Pretoria</t>
  </si>
  <si>
    <t>Sao Paulo</t>
  </si>
  <si>
    <t>Kampala</t>
  </si>
  <si>
    <t>Delhi</t>
  </si>
  <si>
    <t>Kigali</t>
  </si>
  <si>
    <t>Dhaka</t>
  </si>
  <si>
    <t>Lilongwe</t>
  </si>
  <si>
    <t>Hyderabad</t>
  </si>
  <si>
    <t>Luanda</t>
  </si>
  <si>
    <t>Karachi</t>
  </si>
  <si>
    <t>Lusaka</t>
  </si>
  <si>
    <t>Mumbai</t>
  </si>
  <si>
    <t>Maputo</t>
  </si>
  <si>
    <t>Lahore</t>
  </si>
  <si>
    <t>Morogoro</t>
  </si>
  <si>
    <t>Jakarta</t>
  </si>
  <si>
    <t>Mwanza</t>
  </si>
  <si>
    <t>Metro Manila</t>
  </si>
  <si>
    <t>Nairobi</t>
  </si>
  <si>
    <t>Surabaya</t>
  </si>
  <si>
    <t>Ouagadougou</t>
  </si>
  <si>
    <t>Average</t>
  </si>
  <si>
    <t>Northern Africa</t>
  </si>
  <si>
    <t>Southern America</t>
  </si>
  <si>
    <t>South Asia</t>
  </si>
  <si>
    <t>Southeast Asia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</si>
</sst>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5">
    <font>
      <sz val="12"/>
      <name val="宋体"/>
      <charset val="13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1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3FE72723-C214-41BC-8A56-A101DB1DE635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"/>
  <sheetViews>
    <sheetView tabSelected="1" topLeftCell="I1" workbookViewId="0">
      <selection activeCell="S26" sqref="S26"/>
    </sheetView>
  </sheetViews>
  <sheetFormatPr defaultColWidth="9" defaultRowHeight="14.25"/>
  <cols>
    <col min="1" max="1" width="22.375" style="1" customWidth="1"/>
    <col min="2" max="2" width="41.25" style="1" customWidth="1"/>
    <col min="3" max="3" width="34.375" style="1" customWidth="1"/>
    <col min="4" max="4" width="22.125" style="1" customWidth="1"/>
    <col min="5" max="5" width="23.375" style="1" customWidth="1"/>
    <col min="6" max="6" width="16.375" style="1" customWidth="1"/>
    <col min="7" max="7" width="14.75" style="1" customWidth="1"/>
    <col min="8" max="8" width="29" style="1" customWidth="1"/>
    <col min="9" max="9" width="16.625" style="1" customWidth="1"/>
    <col min="10" max="10" width="22.3416666666667" style="1" customWidth="1"/>
    <col min="11" max="11" width="19.625" style="1" customWidth="1"/>
    <col min="12" max="12" width="17.625" style="1" customWidth="1"/>
    <col min="13" max="13" width="23.375" style="1" customWidth="1"/>
    <col min="14" max="14" width="23" style="1" customWidth="1"/>
    <col min="15" max="15" width="23.5" style="1" customWidth="1"/>
    <col min="16" max="16" width="15.625" style="1" customWidth="1"/>
    <col min="17" max="17" width="20.8416666666667" style="1" customWidth="1"/>
    <col min="18" max="16384" width="9" style="1"/>
  </cols>
  <sheetData>
    <row r="1" ht="35" customHeight="1" spans="1:17">
      <c r="A1" s="2" t="s">
        <v>0</v>
      </c>
      <c r="B1" s="3" t="s">
        <v>1</v>
      </c>
      <c r="C1" s="3" t="s">
        <v>2</v>
      </c>
      <c r="E1" s="3"/>
      <c r="F1" s="3"/>
      <c r="J1" s="4" t="s">
        <v>3</v>
      </c>
      <c r="K1" s="3" t="s">
        <v>1</v>
      </c>
      <c r="L1" s="3" t="s">
        <v>2</v>
      </c>
      <c r="M1" s="4" t="s">
        <v>4</v>
      </c>
      <c r="N1" s="4" t="s">
        <v>3</v>
      </c>
      <c r="O1" s="3" t="s">
        <v>1</v>
      </c>
      <c r="P1" s="3" t="s">
        <v>2</v>
      </c>
      <c r="Q1" s="4" t="s">
        <v>4</v>
      </c>
    </row>
    <row r="2" ht="18.5" customHeight="1" spans="1:17">
      <c r="A2" s="2" t="s">
        <v>5</v>
      </c>
      <c r="B2" s="1">
        <v>1.03832393071391</v>
      </c>
      <c r="C2" s="2">
        <v>0.011026232</v>
      </c>
      <c r="D2" s="5">
        <f>MIN(C2:C21)</f>
        <v>0.011026232</v>
      </c>
      <c r="E2" s="1">
        <f>B2/C2</f>
        <v>94.168518376351</v>
      </c>
      <c r="F2" s="5">
        <f>AVERAGE(E2:E21)</f>
        <v>71.1223325549285</v>
      </c>
      <c r="G2" s="1">
        <f>C2/B2</f>
        <v>0.010619260207572</v>
      </c>
      <c r="H2" s="1">
        <f>AVERAGE(G2:G21)</f>
        <v>0.030093960695589</v>
      </c>
      <c r="J2" s="2" t="s">
        <v>5</v>
      </c>
      <c r="K2" s="6">
        <v>1.03832393071391</v>
      </c>
      <c r="L2" s="7">
        <v>0.011026232</v>
      </c>
      <c r="M2" s="6">
        <f>K2/L2</f>
        <v>94.168518376351</v>
      </c>
      <c r="N2" s="2" t="s">
        <v>6</v>
      </c>
      <c r="O2" s="6">
        <v>5.74885521523179</v>
      </c>
      <c r="P2" s="7">
        <v>0.04730369</v>
      </c>
      <c r="Q2" s="6">
        <f>O2/P2</f>
        <v>121.530798447897</v>
      </c>
    </row>
    <row r="3" ht="18.5" customHeight="1" spans="1:17">
      <c r="A3" s="2" t="s">
        <v>7</v>
      </c>
      <c r="B3" s="1">
        <v>0.625626918048112</v>
      </c>
      <c r="C3" s="2">
        <v>0.032944655</v>
      </c>
      <c r="D3" s="5">
        <f>MAX(C2:C21)</f>
        <v>0.120335145</v>
      </c>
      <c r="E3" s="1">
        <f t="shared" ref="E3:E46" si="0">B3/C3</f>
        <v>18.9902403909864</v>
      </c>
      <c r="F3" s="5">
        <f>F2/F29</f>
        <v>2.85135727055324</v>
      </c>
      <c r="G3" s="1">
        <f t="shared" ref="G3:G46" si="1">C3/B3</f>
        <v>0.0526586277693801</v>
      </c>
      <c r="J3" s="2" t="s">
        <v>7</v>
      </c>
      <c r="K3" s="6">
        <v>0.625626918048112</v>
      </c>
      <c r="L3" s="7">
        <v>0.032944655</v>
      </c>
      <c r="M3" s="6">
        <f t="shared" ref="M3:M20" si="2">K3/L3</f>
        <v>18.9902403909864</v>
      </c>
      <c r="N3" s="2" t="s">
        <v>8</v>
      </c>
      <c r="O3" s="6">
        <v>3.06920472866079</v>
      </c>
      <c r="P3" s="7">
        <v>0.015965399</v>
      </c>
      <c r="Q3" s="6">
        <f t="shared" ref="Q3:Q19" si="3">O3/P3</f>
        <v>192.241028781103</v>
      </c>
    </row>
    <row r="4" ht="18.5" customHeight="1" spans="1:17">
      <c r="A4" s="2" t="s">
        <v>9</v>
      </c>
      <c r="B4" s="1">
        <v>6.94026000394921</v>
      </c>
      <c r="C4" s="2">
        <v>0.087569433</v>
      </c>
      <c r="D4" s="5">
        <f>AVERAGE(C2:C21)</f>
        <v>0.03758465245</v>
      </c>
      <c r="E4" s="1">
        <f t="shared" si="0"/>
        <v>79.2543672624808</v>
      </c>
      <c r="F4" s="5"/>
      <c r="G4" s="1">
        <f t="shared" si="1"/>
        <v>0.0126176012066076</v>
      </c>
      <c r="J4" s="2" t="s">
        <v>9</v>
      </c>
      <c r="K4" s="6">
        <v>6.94026000394921</v>
      </c>
      <c r="L4" s="7">
        <v>0.087569433</v>
      </c>
      <c r="M4" s="6">
        <f t="shared" si="2"/>
        <v>79.2543672624808</v>
      </c>
      <c r="N4" s="2" t="s">
        <v>10</v>
      </c>
      <c r="O4" s="6">
        <v>4.37987809811321</v>
      </c>
      <c r="P4" s="7">
        <v>0.132830189</v>
      </c>
      <c r="Q4" s="6">
        <f t="shared" si="3"/>
        <v>32.9735140112856</v>
      </c>
    </row>
    <row r="5" ht="18.5" customHeight="1" spans="1:17">
      <c r="A5" s="2" t="s">
        <v>11</v>
      </c>
      <c r="B5" s="1">
        <v>3.89914889989108</v>
      </c>
      <c r="C5" s="2">
        <v>0.029705911</v>
      </c>
      <c r="D5" s="5"/>
      <c r="E5" s="1">
        <f t="shared" si="0"/>
        <v>131.25835123828</v>
      </c>
      <c r="F5" s="5"/>
      <c r="G5" s="1">
        <f t="shared" si="1"/>
        <v>0.00761856286145672</v>
      </c>
      <c r="J5" s="2" t="s">
        <v>11</v>
      </c>
      <c r="K5" s="6">
        <v>3.89914889989108</v>
      </c>
      <c r="L5" s="7">
        <v>0.029705911</v>
      </c>
      <c r="M5" s="6">
        <f t="shared" si="2"/>
        <v>131.25835123828</v>
      </c>
      <c r="N5" s="2" t="s">
        <v>12</v>
      </c>
      <c r="O5" s="6">
        <v>0.162317237418741</v>
      </c>
      <c r="P5" s="7">
        <v>0.047543059</v>
      </c>
      <c r="Q5" s="6">
        <f t="shared" si="3"/>
        <v>3.41411008952413</v>
      </c>
    </row>
    <row r="6" ht="18.5" customHeight="1" spans="1:17">
      <c r="A6" s="2" t="s">
        <v>13</v>
      </c>
      <c r="B6" s="1">
        <v>0.826905470135224</v>
      </c>
      <c r="C6" s="2">
        <v>0.044252913</v>
      </c>
      <c r="D6" s="5"/>
      <c r="E6" s="1">
        <f t="shared" si="0"/>
        <v>18.6858991663492</v>
      </c>
      <c r="F6" s="5"/>
      <c r="G6" s="1">
        <f t="shared" si="1"/>
        <v>0.0535162900697262</v>
      </c>
      <c r="J6" s="2" t="s">
        <v>13</v>
      </c>
      <c r="K6" s="6">
        <v>0.826905470135224</v>
      </c>
      <c r="L6" s="7">
        <v>0.044252913</v>
      </c>
      <c r="M6" s="6">
        <f t="shared" si="2"/>
        <v>18.6858991663492</v>
      </c>
      <c r="N6" s="2" t="s">
        <v>14</v>
      </c>
      <c r="O6" s="6">
        <v>3.5580655677835</v>
      </c>
      <c r="P6" s="7">
        <v>0.2163824</v>
      </c>
      <c r="Q6" s="6">
        <f t="shared" si="3"/>
        <v>16.4434148423509</v>
      </c>
    </row>
    <row r="7" ht="18.5" customHeight="1" spans="1:17">
      <c r="A7" s="2" t="s">
        <v>15</v>
      </c>
      <c r="B7" s="1">
        <v>6.08216659170246</v>
      </c>
      <c r="C7" s="2">
        <v>0.068860929</v>
      </c>
      <c r="D7" s="5"/>
      <c r="E7" s="1">
        <f t="shared" si="0"/>
        <v>88.3253635991821</v>
      </c>
      <c r="F7" s="5"/>
      <c r="G7" s="1">
        <f t="shared" si="1"/>
        <v>0.0113217762061866</v>
      </c>
      <c r="J7" s="2" t="s">
        <v>15</v>
      </c>
      <c r="K7" s="6">
        <v>6.08216659170246</v>
      </c>
      <c r="L7" s="7">
        <v>0.068860929</v>
      </c>
      <c r="M7" s="6">
        <f t="shared" si="2"/>
        <v>88.3253635991821</v>
      </c>
      <c r="N7" s="2" t="s">
        <v>16</v>
      </c>
      <c r="O7" s="6">
        <v>6.17313613358944</v>
      </c>
      <c r="P7" s="7">
        <v>0.078071752</v>
      </c>
      <c r="Q7" s="6">
        <f t="shared" si="3"/>
        <v>79.0700346213499</v>
      </c>
    </row>
    <row r="8" ht="18.5" customHeight="1" spans="1:17">
      <c r="A8" s="2" t="s">
        <v>17</v>
      </c>
      <c r="B8" s="1">
        <v>1.18286707656071</v>
      </c>
      <c r="C8" s="2">
        <v>0.012929229</v>
      </c>
      <c r="D8" s="5"/>
      <c r="E8" s="1">
        <f t="shared" si="0"/>
        <v>91.487827817166</v>
      </c>
      <c r="F8" s="5"/>
      <c r="G8" s="1">
        <f t="shared" si="1"/>
        <v>0.0109304158144234</v>
      </c>
      <c r="J8" s="2" t="s">
        <v>17</v>
      </c>
      <c r="K8" s="6">
        <v>1.18286707656071</v>
      </c>
      <c r="L8" s="7">
        <v>0.012929229</v>
      </c>
      <c r="M8" s="6">
        <f t="shared" si="2"/>
        <v>91.487827817166</v>
      </c>
      <c r="N8" s="2" t="s">
        <v>18</v>
      </c>
      <c r="O8" s="6">
        <v>4.01730019555657</v>
      </c>
      <c r="P8" s="7">
        <v>0.166938538</v>
      </c>
      <c r="Q8" s="6">
        <f t="shared" si="3"/>
        <v>24.0645464114258</v>
      </c>
    </row>
    <row r="9" ht="18.5" customHeight="1" spans="1:17">
      <c r="A9" s="2" t="s">
        <v>19</v>
      </c>
      <c r="B9" s="1">
        <v>0.194716816431975</v>
      </c>
      <c r="C9" s="2">
        <v>0.019833097</v>
      </c>
      <c r="D9" s="5"/>
      <c r="E9" s="1">
        <f t="shared" si="0"/>
        <v>9.8177715982519</v>
      </c>
      <c r="F9" s="5"/>
      <c r="G9" s="1">
        <f t="shared" si="1"/>
        <v>0.101856107569059</v>
      </c>
      <c r="J9" s="2" t="s">
        <v>19</v>
      </c>
      <c r="K9" s="6">
        <v>0.194716816431975</v>
      </c>
      <c r="L9" s="7">
        <v>0.019833097</v>
      </c>
      <c r="M9" s="6">
        <f t="shared" si="2"/>
        <v>9.8177715982519</v>
      </c>
      <c r="N9" s="2" t="s">
        <v>20</v>
      </c>
      <c r="O9" s="6">
        <v>0.564816252845547</v>
      </c>
      <c r="P9" s="7">
        <v>0.160500356</v>
      </c>
      <c r="Q9" s="6">
        <f t="shared" si="3"/>
        <v>3.5190965735026</v>
      </c>
    </row>
    <row r="10" ht="18.5" customHeight="1" spans="1:17">
      <c r="A10" s="2" t="s">
        <v>21</v>
      </c>
      <c r="B10" s="1">
        <v>0.316177819519863</v>
      </c>
      <c r="C10" s="2">
        <v>0.014140343</v>
      </c>
      <c r="D10" s="5"/>
      <c r="E10" s="1">
        <f t="shared" si="0"/>
        <v>22.3599823229085</v>
      </c>
      <c r="F10" s="5"/>
      <c r="G10" s="1">
        <f t="shared" si="1"/>
        <v>0.0447227544976844</v>
      </c>
      <c r="J10" s="2" t="s">
        <v>21</v>
      </c>
      <c r="K10" s="6">
        <v>0.316177819519863</v>
      </c>
      <c r="L10" s="7">
        <v>0.014140343</v>
      </c>
      <c r="M10" s="6">
        <f t="shared" si="2"/>
        <v>22.3599823229085</v>
      </c>
      <c r="N10" s="2" t="s">
        <v>22</v>
      </c>
      <c r="O10" s="6">
        <v>0.498178203270005</v>
      </c>
      <c r="P10" s="7">
        <v>0.307605681</v>
      </c>
      <c r="Q10" s="6">
        <f t="shared" si="3"/>
        <v>1.61953511928151</v>
      </c>
    </row>
    <row r="11" ht="18.5" customHeight="1" spans="1:17">
      <c r="A11" s="2" t="s">
        <v>23</v>
      </c>
      <c r="B11" s="1">
        <v>1.77295452824264</v>
      </c>
      <c r="C11" s="2">
        <v>0.0253057</v>
      </c>
      <c r="D11" s="5"/>
      <c r="E11" s="1">
        <f t="shared" si="0"/>
        <v>70.0614694808932</v>
      </c>
      <c r="F11" s="5"/>
      <c r="G11" s="1">
        <f t="shared" si="1"/>
        <v>0.0142731805000567</v>
      </c>
      <c r="J11" s="2" t="s">
        <v>23</v>
      </c>
      <c r="K11" s="6">
        <v>1.77295452824264</v>
      </c>
      <c r="L11" s="7">
        <v>0.0253057</v>
      </c>
      <c r="M11" s="6">
        <f t="shared" si="2"/>
        <v>70.0614694808932</v>
      </c>
      <c r="N11" s="2" t="s">
        <v>24</v>
      </c>
      <c r="O11" s="6">
        <v>3.8890039283188</v>
      </c>
      <c r="P11" s="7">
        <v>0.03055244</v>
      </c>
      <c r="Q11" s="6">
        <f t="shared" si="3"/>
        <v>127.289471096868</v>
      </c>
    </row>
    <row r="12" ht="18.5" customHeight="1" spans="1:17">
      <c r="A12" s="2" t="s">
        <v>25</v>
      </c>
      <c r="B12" s="1">
        <v>2.16992348402601</v>
      </c>
      <c r="C12" s="2">
        <v>0.022134854</v>
      </c>
      <c r="D12" s="5"/>
      <c r="E12" s="1">
        <f t="shared" si="0"/>
        <v>98.0319763584621</v>
      </c>
      <c r="F12" s="5"/>
      <c r="G12" s="1">
        <f t="shared" si="1"/>
        <v>0.0102007532352854</v>
      </c>
      <c r="J12" s="2" t="s">
        <v>25</v>
      </c>
      <c r="K12" s="6">
        <v>2.16992348402601</v>
      </c>
      <c r="L12" s="7">
        <v>0.022134854</v>
      </c>
      <c r="M12" s="6">
        <f t="shared" si="2"/>
        <v>98.0319763584621</v>
      </c>
      <c r="N12" s="2" t="s">
        <v>26</v>
      </c>
      <c r="O12" s="6">
        <v>2.3784487884624</v>
      </c>
      <c r="P12" s="7">
        <v>0.119138263</v>
      </c>
      <c r="Q12" s="6">
        <f t="shared" si="3"/>
        <v>19.9637692255292</v>
      </c>
    </row>
    <row r="13" ht="18.5" customHeight="1" spans="1:17">
      <c r="A13" s="2" t="s">
        <v>27</v>
      </c>
      <c r="B13" s="1">
        <v>0.704849170105414</v>
      </c>
      <c r="C13" s="2">
        <v>0.011947541</v>
      </c>
      <c r="D13" s="5"/>
      <c r="E13" s="1">
        <f t="shared" si="0"/>
        <v>58.9953338603662</v>
      </c>
      <c r="F13" s="5"/>
      <c r="G13" s="1">
        <f t="shared" si="1"/>
        <v>0.0169504931079272</v>
      </c>
      <c r="J13" s="2" t="s">
        <v>27</v>
      </c>
      <c r="K13" s="6">
        <v>0.704849170105414</v>
      </c>
      <c r="L13" s="7">
        <v>0.011947541</v>
      </c>
      <c r="M13" s="6">
        <f t="shared" si="2"/>
        <v>58.9953338603662</v>
      </c>
      <c r="N13" s="2" t="s">
        <v>28</v>
      </c>
      <c r="O13" s="6">
        <v>3.87279150670805</v>
      </c>
      <c r="P13" s="7">
        <v>0.067129112</v>
      </c>
      <c r="Q13" s="6">
        <f t="shared" si="3"/>
        <v>57.6916838510846</v>
      </c>
    </row>
    <row r="14" ht="18.5" customHeight="1" spans="1:17">
      <c r="A14" s="2" t="s">
        <v>29</v>
      </c>
      <c r="B14" s="1">
        <v>2.75490206839883</v>
      </c>
      <c r="C14" s="2">
        <v>0.020148786</v>
      </c>
      <c r="D14" s="5"/>
      <c r="E14" s="1">
        <f t="shared" si="0"/>
        <v>136.727943231857</v>
      </c>
      <c r="F14" s="5"/>
      <c r="G14" s="1">
        <f t="shared" si="1"/>
        <v>0.00731379392070754</v>
      </c>
      <c r="J14" s="2" t="s">
        <v>29</v>
      </c>
      <c r="K14" s="6">
        <v>2.75490206839883</v>
      </c>
      <c r="L14" s="7">
        <v>0.020148786</v>
      </c>
      <c r="M14" s="6">
        <f t="shared" si="2"/>
        <v>136.727943231857</v>
      </c>
      <c r="N14" s="2" t="s">
        <v>30</v>
      </c>
      <c r="O14" s="6">
        <v>5.27963192126569</v>
      </c>
      <c r="P14" s="7">
        <v>0.031429306</v>
      </c>
      <c r="Q14" s="6">
        <f t="shared" si="3"/>
        <v>167.984362151226</v>
      </c>
    </row>
    <row r="15" ht="18.5" customHeight="1" spans="1:17">
      <c r="A15" s="2" t="s">
        <v>31</v>
      </c>
      <c r="B15" s="1">
        <v>1.35568323647316</v>
      </c>
      <c r="C15" s="2">
        <v>0.057267695</v>
      </c>
      <c r="D15" s="5"/>
      <c r="E15" s="1">
        <f t="shared" si="0"/>
        <v>23.6727396916038</v>
      </c>
      <c r="F15" s="5"/>
      <c r="G15" s="1">
        <f t="shared" si="1"/>
        <v>0.0422426813722232</v>
      </c>
      <c r="J15" s="2" t="s">
        <v>31</v>
      </c>
      <c r="K15" s="6">
        <v>1.35568323647316</v>
      </c>
      <c r="L15" s="7">
        <v>0.057267695</v>
      </c>
      <c r="M15" s="6">
        <f t="shared" si="2"/>
        <v>23.6727396916038</v>
      </c>
      <c r="N15" s="2" t="s">
        <v>32</v>
      </c>
      <c r="O15" s="6">
        <v>6.03645687547395</v>
      </c>
      <c r="P15" s="7">
        <v>0.13213227</v>
      </c>
      <c r="Q15" s="6">
        <f t="shared" si="3"/>
        <v>45.6849555031027</v>
      </c>
    </row>
    <row r="16" ht="18.5" customHeight="1" spans="1:17">
      <c r="A16" s="2" t="s">
        <v>33</v>
      </c>
      <c r="B16" s="1">
        <v>2.67894984696955</v>
      </c>
      <c r="C16" s="2">
        <v>0.02010619</v>
      </c>
      <c r="D16" s="5"/>
      <c r="E16" s="1">
        <f t="shared" si="0"/>
        <v>133.240054280276</v>
      </c>
      <c r="F16" s="5"/>
      <c r="G16" s="1">
        <f t="shared" si="1"/>
        <v>0.00750525062003094</v>
      </c>
      <c r="J16" s="2" t="s">
        <v>33</v>
      </c>
      <c r="K16" s="6">
        <v>2.67894984696955</v>
      </c>
      <c r="L16" s="7">
        <v>0.02010619</v>
      </c>
      <c r="M16" s="6">
        <f t="shared" si="2"/>
        <v>133.240054280276</v>
      </c>
      <c r="N16" s="2" t="s">
        <v>34</v>
      </c>
      <c r="O16" s="6">
        <v>4.07709478327513</v>
      </c>
      <c r="P16" s="7">
        <v>0.018722992</v>
      </c>
      <c r="Q16" s="6">
        <f t="shared" si="3"/>
        <v>217.758720576024</v>
      </c>
    </row>
    <row r="17" ht="18.5" customHeight="1" spans="1:17">
      <c r="A17" s="2" t="s">
        <v>35</v>
      </c>
      <c r="B17" s="1">
        <v>0.772242656707795</v>
      </c>
      <c r="C17" s="2">
        <v>0.061899063</v>
      </c>
      <c r="D17" s="5"/>
      <c r="E17" s="1">
        <f t="shared" si="0"/>
        <v>12.4758375859065</v>
      </c>
      <c r="F17" s="5"/>
      <c r="G17" s="1">
        <f t="shared" si="1"/>
        <v>0.0801549389461163</v>
      </c>
      <c r="J17" s="2" t="s">
        <v>35</v>
      </c>
      <c r="K17" s="6">
        <v>0.772242656707795</v>
      </c>
      <c r="L17" s="7">
        <v>0.061899063</v>
      </c>
      <c r="M17" s="6">
        <f t="shared" si="2"/>
        <v>12.4758375859065</v>
      </c>
      <c r="N17" s="2" t="s">
        <v>36</v>
      </c>
      <c r="O17" s="6">
        <v>4.97576240826859</v>
      </c>
      <c r="P17" s="7">
        <v>0.979812371</v>
      </c>
      <c r="Q17" s="6">
        <f t="shared" si="3"/>
        <v>5.07828085819156</v>
      </c>
    </row>
    <row r="18" ht="18.5" customHeight="1" spans="1:17">
      <c r="A18" s="2" t="s">
        <v>37</v>
      </c>
      <c r="B18" s="1">
        <v>2.31169658800639</v>
      </c>
      <c r="C18" s="2">
        <v>0.021739367</v>
      </c>
      <c r="D18" s="5"/>
      <c r="E18" s="1">
        <f t="shared" si="0"/>
        <v>106.336885890302</v>
      </c>
      <c r="F18" s="5"/>
      <c r="G18" s="1">
        <f t="shared" si="1"/>
        <v>0.00940407452811446</v>
      </c>
      <c r="J18" s="2" t="s">
        <v>37</v>
      </c>
      <c r="K18" s="6">
        <v>2.31169658800639</v>
      </c>
      <c r="L18" s="7">
        <v>0.021739367</v>
      </c>
      <c r="M18" s="6">
        <f t="shared" si="2"/>
        <v>106.336885890302</v>
      </c>
      <c r="N18" s="2" t="s">
        <v>38</v>
      </c>
      <c r="O18" s="6">
        <v>1.44878248054751</v>
      </c>
      <c r="P18" s="7">
        <v>0.159156706</v>
      </c>
      <c r="Q18" s="6">
        <f t="shared" si="3"/>
        <v>9.10286796553524</v>
      </c>
    </row>
    <row r="19" ht="18.5" customHeight="1" spans="1:17">
      <c r="A19" s="2" t="s">
        <v>39</v>
      </c>
      <c r="B19" s="1">
        <v>1.34740307564671</v>
      </c>
      <c r="C19" s="2">
        <v>0.120335145</v>
      </c>
      <c r="D19" s="5"/>
      <c r="E19" s="1">
        <f t="shared" si="0"/>
        <v>11.1970868996477</v>
      </c>
      <c r="F19" s="5"/>
      <c r="G19" s="1">
        <f t="shared" si="1"/>
        <v>0.0893089433852175</v>
      </c>
      <c r="J19" s="2" t="s">
        <v>39</v>
      </c>
      <c r="K19" s="6">
        <v>1.34740307564671</v>
      </c>
      <c r="L19" s="7">
        <v>0.120335145</v>
      </c>
      <c r="M19" s="6">
        <f t="shared" si="2"/>
        <v>11.1970868996477</v>
      </c>
      <c r="N19" s="2" t="s">
        <v>40</v>
      </c>
      <c r="O19" s="6">
        <v>8.57968233362169</v>
      </c>
      <c r="P19" s="7">
        <v>0.511707696</v>
      </c>
      <c r="Q19" s="6">
        <f t="shared" si="3"/>
        <v>16.7667643083908</v>
      </c>
    </row>
    <row r="20" ht="18.5" customHeight="1" spans="1:17">
      <c r="A20" s="2" t="s">
        <v>41</v>
      </c>
      <c r="B20" s="1">
        <v>2.13143735304211</v>
      </c>
      <c r="C20" s="2">
        <v>0.022242276</v>
      </c>
      <c r="D20" s="5"/>
      <c r="E20" s="1">
        <f t="shared" si="0"/>
        <v>95.8282035994028</v>
      </c>
      <c r="F20" s="5"/>
      <c r="G20" s="1">
        <f t="shared" si="1"/>
        <v>0.0104353411880741</v>
      </c>
      <c r="J20" s="2" t="s">
        <v>41</v>
      </c>
      <c r="K20" s="6">
        <v>2.13143735304211</v>
      </c>
      <c r="L20" s="7">
        <v>0.022242276</v>
      </c>
      <c r="M20" s="6">
        <f t="shared" si="2"/>
        <v>95.8282035994028</v>
      </c>
      <c r="N20" s="8" t="s">
        <v>42</v>
      </c>
      <c r="O20" s="6">
        <f>AVERAGE(K2:K20,O2:O19)</f>
        <v>2.91393627548602</v>
      </c>
      <c r="P20" s="6">
        <f>AVERAGE(L2:L20,P2:P19)</f>
        <v>0.106143556189189</v>
      </c>
      <c r="Q20" s="6">
        <f>AVERAGE(M2:M20,Q2:Q19)</f>
        <v>66.0300758671444</v>
      </c>
    </row>
    <row r="21" ht="18.6" customHeight="1" spans="1:17">
      <c r="A21" s="2" t="s">
        <v>6</v>
      </c>
      <c r="B21" s="1">
        <v>5.74885521523179</v>
      </c>
      <c r="C21" s="2">
        <v>0.04730369</v>
      </c>
      <c r="D21" s="5"/>
      <c r="E21" s="1">
        <f t="shared" si="0"/>
        <v>121.530798447897</v>
      </c>
      <c r="F21" s="5"/>
      <c r="G21" s="1">
        <f t="shared" si="1"/>
        <v>0.00822836690593064</v>
      </c>
    </row>
    <row r="22" ht="18.6" customHeight="1" spans="1:17">
      <c r="A22" s="9"/>
      <c r="C22" s="9"/>
      <c r="D22" s="5"/>
    </row>
    <row r="23" ht="18.6" customHeight="1" spans="1:17">
      <c r="A23" s="2" t="s">
        <v>43</v>
      </c>
      <c r="B23" s="3" t="s">
        <v>1</v>
      </c>
      <c r="C23" s="3" t="s">
        <v>2</v>
      </c>
      <c r="D23" s="5"/>
      <c r="F23" s="3"/>
    </row>
    <row r="24" ht="18.6" customHeight="1" spans="1:17">
      <c r="A24" s="2" t="s">
        <v>8</v>
      </c>
      <c r="B24" s="1">
        <v>3.06920472866079</v>
      </c>
      <c r="C24" s="2">
        <v>0.015965399</v>
      </c>
      <c r="D24" s="5">
        <f>AVERAGE(C24:C26)</f>
        <v>0.0654462156666667</v>
      </c>
      <c r="E24" s="1">
        <f t="shared" si="0"/>
        <v>192.241028781103</v>
      </c>
      <c r="F24" s="5">
        <f>AVERAGE(E24:E26)</f>
        <v>76.2095509606375</v>
      </c>
      <c r="G24" s="1">
        <f t="shared" si="1"/>
        <v>0.00520180320684124</v>
      </c>
      <c r="H24" s="1">
        <f>AVERAGE(G24:G26)</f>
        <v>0.10947709002701</v>
      </c>
      <c r="J24"/>
      <c r="K24"/>
      <c r="L24"/>
      <c r="M24"/>
      <c r="N24"/>
      <c r="O24"/>
    </row>
    <row r="25" ht="18.6" customHeight="1" spans="1:17">
      <c r="A25" s="2" t="s">
        <v>10</v>
      </c>
      <c r="B25" s="1">
        <v>4.37987809811321</v>
      </c>
      <c r="C25" s="2">
        <v>0.132830189</v>
      </c>
      <c r="D25" s="5"/>
      <c r="E25" s="1">
        <f t="shared" si="0"/>
        <v>32.9735140112856</v>
      </c>
      <c r="F25" s="5">
        <f>F24/F29</f>
        <v>3.05530835971089</v>
      </c>
      <c r="G25" s="1">
        <f t="shared" si="1"/>
        <v>0.0303273712246059</v>
      </c>
      <c r="J25"/>
      <c r="K25"/>
      <c r="L25"/>
      <c r="M25"/>
      <c r="N25"/>
      <c r="O25"/>
    </row>
    <row r="26" ht="18.6" customHeight="1" spans="1:17">
      <c r="A26" s="2" t="s">
        <v>12</v>
      </c>
      <c r="B26" s="1">
        <v>0.162317237418741</v>
      </c>
      <c r="C26" s="2">
        <v>0.047543059</v>
      </c>
      <c r="D26" s="5"/>
      <c r="E26" s="1">
        <f t="shared" si="0"/>
        <v>3.41411008952413</v>
      </c>
      <c r="F26" s="5"/>
      <c r="G26" s="1">
        <f t="shared" si="1"/>
        <v>0.292902095649582</v>
      </c>
      <c r="J26"/>
      <c r="K26"/>
      <c r="L26"/>
      <c r="M26"/>
      <c r="N26"/>
      <c r="O26"/>
    </row>
    <row r="27" ht="18.6" customHeight="1" spans="1:17">
      <c r="A27" s="9"/>
      <c r="C27" s="9"/>
      <c r="D27" s="5"/>
      <c r="J27"/>
      <c r="K27"/>
      <c r="L27"/>
      <c r="M27"/>
      <c r="N27"/>
      <c r="O27"/>
    </row>
    <row r="28" ht="18.6" customHeight="1" spans="1:17">
      <c r="A28" s="2" t="s">
        <v>44</v>
      </c>
      <c r="B28" s="3" t="s">
        <v>1</v>
      </c>
      <c r="C28" s="3" t="s">
        <v>2</v>
      </c>
      <c r="D28" s="5"/>
      <c r="F28" s="3"/>
      <c r="J28"/>
      <c r="K28"/>
      <c r="L28"/>
      <c r="M28"/>
      <c r="N28"/>
      <c r="O28"/>
    </row>
    <row r="29" ht="18.6" customHeight="1" spans="1:17">
      <c r="A29" s="2" t="s">
        <v>14</v>
      </c>
      <c r="B29" s="1">
        <v>3.5580655677835</v>
      </c>
      <c r="C29" s="2">
        <v>0.2163824</v>
      </c>
      <c r="D29" s="1">
        <f>AVERAGE(C29:C33)</f>
        <v>0.1858997454</v>
      </c>
      <c r="E29" s="1">
        <f t="shared" si="0"/>
        <v>16.4434148423509</v>
      </c>
      <c r="F29" s="5">
        <f>AVERAGE(E29:E33)</f>
        <v>24.9433255135821</v>
      </c>
      <c r="G29" s="1">
        <f t="shared" si="1"/>
        <v>0.0608146184711249</v>
      </c>
      <c r="H29" s="1">
        <f>AVERAGE(G29:G33)</f>
        <v>0.203328304531337</v>
      </c>
      <c r="J29"/>
      <c r="K29"/>
      <c r="L29"/>
      <c r="M29"/>
      <c r="N29"/>
      <c r="O29"/>
    </row>
    <row r="30" ht="18.6" customHeight="1" spans="1:17">
      <c r="A30" s="2" t="s">
        <v>16</v>
      </c>
      <c r="B30" s="1">
        <v>6.17313613358944</v>
      </c>
      <c r="C30" s="2">
        <v>0.078071752</v>
      </c>
      <c r="E30" s="1">
        <f t="shared" si="0"/>
        <v>79.0700346213499</v>
      </c>
      <c r="F30" s="5"/>
      <c r="G30" s="1">
        <f t="shared" si="1"/>
        <v>0.012647016088823</v>
      </c>
      <c r="J30"/>
      <c r="K30"/>
      <c r="L30"/>
      <c r="M30"/>
      <c r="N30"/>
      <c r="O30"/>
    </row>
    <row r="31" ht="18.6" customHeight="1" spans="1:17">
      <c r="A31" s="2" t="s">
        <v>18</v>
      </c>
      <c r="B31" s="1">
        <v>4.01730019555657</v>
      </c>
      <c r="C31" s="2">
        <v>0.166938538</v>
      </c>
      <c r="E31" s="1">
        <f t="shared" si="0"/>
        <v>24.0645464114258</v>
      </c>
      <c r="F31" s="5"/>
      <c r="G31" s="1">
        <f t="shared" si="1"/>
        <v>0.0415549074935068</v>
      </c>
      <c r="J31"/>
      <c r="K31"/>
      <c r="L31"/>
      <c r="M31"/>
      <c r="N31"/>
      <c r="O31"/>
    </row>
    <row r="32" ht="18.6" customHeight="1" spans="1:17">
      <c r="A32" s="2" t="s">
        <v>20</v>
      </c>
      <c r="B32" s="1">
        <v>0.564816252845547</v>
      </c>
      <c r="C32" s="2">
        <v>0.160500356</v>
      </c>
      <c r="E32" s="1">
        <f t="shared" si="0"/>
        <v>3.5190965735026</v>
      </c>
      <c r="F32" s="5"/>
      <c r="G32" s="1">
        <f t="shared" si="1"/>
        <v>0.284163841234027</v>
      </c>
      <c r="J32"/>
      <c r="K32"/>
      <c r="L32"/>
      <c r="M32"/>
      <c r="N32"/>
      <c r="O32"/>
    </row>
    <row r="33" ht="18.6" customHeight="1" spans="1:15">
      <c r="A33" s="2" t="s">
        <v>22</v>
      </c>
      <c r="B33" s="1">
        <v>0.498178203270005</v>
      </c>
      <c r="C33" s="2">
        <v>0.307605681</v>
      </c>
      <c r="E33" s="1">
        <f t="shared" si="0"/>
        <v>1.61953511928151</v>
      </c>
      <c r="F33" s="5"/>
      <c r="G33" s="1">
        <f t="shared" si="1"/>
        <v>0.617461139369204</v>
      </c>
      <c r="J33"/>
      <c r="K33"/>
      <c r="L33"/>
      <c r="M33"/>
      <c r="N33"/>
      <c r="O33"/>
    </row>
    <row r="34" ht="18.6" customHeight="1" spans="1:15">
      <c r="A34" s="9"/>
      <c r="C34" s="9"/>
      <c r="D34" s="5"/>
      <c r="J34"/>
      <c r="K34"/>
      <c r="L34"/>
      <c r="M34"/>
      <c r="N34"/>
      <c r="O34"/>
    </row>
    <row r="35" ht="18.6" customHeight="1" spans="1:15">
      <c r="A35" s="2" t="s">
        <v>45</v>
      </c>
      <c r="B35" s="3" t="s">
        <v>1</v>
      </c>
      <c r="C35" s="3" t="s">
        <v>2</v>
      </c>
      <c r="D35" s="5"/>
      <c r="F35" s="3"/>
      <c r="J35"/>
      <c r="K35"/>
      <c r="L35"/>
      <c r="M35"/>
      <c r="N35"/>
      <c r="O35"/>
    </row>
    <row r="36" ht="18.6" customHeight="1" spans="1:15">
      <c r="A36" s="2" t="s">
        <v>24</v>
      </c>
      <c r="B36" s="1">
        <v>3.8890039283188</v>
      </c>
      <c r="C36" s="2">
        <v>0.03055244</v>
      </c>
      <c r="D36" s="1">
        <f>AVERAGE(C36:C41)</f>
        <v>0.0665173971666667</v>
      </c>
      <c r="E36" s="1">
        <f t="shared" si="0"/>
        <v>127.289471096868</v>
      </c>
      <c r="F36" s="5">
        <f>AVEDEV(E36:E41)</f>
        <v>64.9486908740669</v>
      </c>
      <c r="G36" s="1">
        <f t="shared" si="1"/>
        <v>0.00785610931825612</v>
      </c>
      <c r="H36" s="1">
        <f>AVERAGE(G36:G41)</f>
        <v>0.017952431505351</v>
      </c>
      <c r="J36"/>
      <c r="K36"/>
      <c r="L36"/>
      <c r="M36"/>
      <c r="N36"/>
      <c r="O36"/>
    </row>
    <row r="37" ht="18.6" customHeight="1" spans="1:15">
      <c r="A37" s="2" t="s">
        <v>26</v>
      </c>
      <c r="B37" s="1">
        <v>2.3784487884624</v>
      </c>
      <c r="C37" s="2">
        <v>0.119138263</v>
      </c>
      <c r="E37" s="1">
        <f t="shared" si="0"/>
        <v>19.9637692255292</v>
      </c>
      <c r="F37" s="5">
        <f>F36/F29</f>
        <v>2.60385051057851</v>
      </c>
      <c r="G37" s="1">
        <f t="shared" si="1"/>
        <v>0.0500907413175877</v>
      </c>
      <c r="J37"/>
      <c r="K37"/>
      <c r="L37"/>
      <c r="M37"/>
      <c r="N37"/>
      <c r="O37"/>
    </row>
    <row r="38" ht="18.6" customHeight="1" spans="1:15">
      <c r="A38" s="2" t="s">
        <v>28</v>
      </c>
      <c r="B38" s="1">
        <v>3.87279150670805</v>
      </c>
      <c r="C38" s="2">
        <v>0.067129112</v>
      </c>
      <c r="E38" s="1">
        <f t="shared" si="0"/>
        <v>57.6916838510846</v>
      </c>
      <c r="F38" s="5"/>
      <c r="G38" s="1">
        <f t="shared" si="1"/>
        <v>0.0173335207649898</v>
      </c>
      <c r="J38"/>
      <c r="K38"/>
      <c r="L38"/>
      <c r="M38"/>
      <c r="N38"/>
      <c r="O38"/>
    </row>
    <row r="39" ht="18.6" customHeight="1" spans="1:15">
      <c r="A39" s="2" t="s">
        <v>30</v>
      </c>
      <c r="B39" s="1">
        <v>5.27963192126569</v>
      </c>
      <c r="C39" s="2">
        <v>0.031429306</v>
      </c>
      <c r="E39" s="1">
        <f t="shared" si="0"/>
        <v>167.984362151226</v>
      </c>
      <c r="F39" s="5"/>
      <c r="G39" s="1">
        <f t="shared" si="1"/>
        <v>0.00595293506606147</v>
      </c>
      <c r="J39"/>
      <c r="K39"/>
      <c r="L39"/>
      <c r="M39"/>
      <c r="N39"/>
      <c r="O39"/>
    </row>
    <row r="40" ht="18.6" customHeight="1" spans="1:15">
      <c r="A40" s="2" t="s">
        <v>32</v>
      </c>
      <c r="B40" s="1">
        <v>6.03645687547395</v>
      </c>
      <c r="C40" s="2">
        <v>0.13213227</v>
      </c>
      <c r="E40" s="1">
        <f t="shared" si="0"/>
        <v>45.6849555031027</v>
      </c>
      <c r="F40" s="5"/>
      <c r="G40" s="1">
        <f t="shared" si="1"/>
        <v>0.021889043974927</v>
      </c>
      <c r="J40"/>
      <c r="K40"/>
      <c r="L40"/>
      <c r="M40"/>
      <c r="N40"/>
      <c r="O40"/>
    </row>
    <row r="41" ht="18.6" customHeight="1" spans="1:15">
      <c r="A41" s="2" t="s">
        <v>34</v>
      </c>
      <c r="B41" s="1">
        <v>4.07709478327513</v>
      </c>
      <c r="C41" s="2">
        <v>0.018722992</v>
      </c>
      <c r="E41" s="1">
        <f t="shared" si="0"/>
        <v>217.758720576024</v>
      </c>
      <c r="F41" s="5"/>
      <c r="G41" s="1">
        <f t="shared" si="1"/>
        <v>0.0045922385902836</v>
      </c>
      <c r="J41"/>
      <c r="K41"/>
      <c r="L41"/>
      <c r="M41"/>
      <c r="N41"/>
      <c r="O41"/>
    </row>
    <row r="42" ht="18.6" customHeight="1" spans="1:15">
      <c r="A42" s="9"/>
      <c r="C42" s="9"/>
      <c r="D42" s="5"/>
      <c r="J42"/>
      <c r="K42"/>
      <c r="L42"/>
      <c r="M42"/>
      <c r="N42"/>
      <c r="O42"/>
    </row>
    <row r="43" ht="18.6" customHeight="1" spans="1:15">
      <c r="A43" s="2" t="s">
        <v>46</v>
      </c>
      <c r="B43" s="3" t="s">
        <v>1</v>
      </c>
      <c r="C43" s="3" t="s">
        <v>2</v>
      </c>
      <c r="D43" s="5"/>
      <c r="F43" s="3"/>
      <c r="J43"/>
      <c r="K43"/>
      <c r="L43"/>
      <c r="M43"/>
      <c r="N43"/>
      <c r="O43"/>
    </row>
    <row r="44" ht="18.6" customHeight="1" spans="1:15">
      <c r="A44" s="2" t="s">
        <v>36</v>
      </c>
      <c r="B44" s="1">
        <v>4.97576240826859</v>
      </c>
      <c r="C44" s="2">
        <v>0.979812371</v>
      </c>
      <c r="D44" s="1">
        <f>AVERAGE(C44:C46)</f>
        <v>0.550225591</v>
      </c>
      <c r="E44" s="1">
        <f t="shared" si="0"/>
        <v>5.07828085819156</v>
      </c>
      <c r="F44" s="5">
        <f>AVEDEV(E44:E46)</f>
        <v>4.30052884290107</v>
      </c>
      <c r="G44" s="1">
        <f t="shared" si="1"/>
        <v>0.196917033130797</v>
      </c>
      <c r="H44" s="1">
        <f>AVERAGE(G44:G46)</f>
        <v>0.122138106879953</v>
      </c>
      <c r="J44"/>
      <c r="K44"/>
      <c r="L44"/>
      <c r="M44"/>
      <c r="N44"/>
      <c r="O44"/>
    </row>
    <row r="45" ht="18.6" customHeight="1" spans="1:15">
      <c r="A45" s="2" t="s">
        <v>38</v>
      </c>
      <c r="B45" s="1">
        <v>1.44878248054751</v>
      </c>
      <c r="C45" s="2">
        <v>0.159156706</v>
      </c>
      <c r="E45" s="1">
        <f t="shared" si="0"/>
        <v>9.10286796553524</v>
      </c>
      <c r="F45" s="5">
        <f>F29/F44</f>
        <v>5.8000600448841</v>
      </c>
      <c r="G45" s="1">
        <f t="shared" si="1"/>
        <v>0.109855487719491</v>
      </c>
      <c r="J45"/>
      <c r="K45"/>
      <c r="L45"/>
      <c r="M45"/>
      <c r="N45"/>
      <c r="O45"/>
    </row>
    <row r="46" ht="18.6" customHeight="1" spans="1:15">
      <c r="A46" s="2" t="s">
        <v>40</v>
      </c>
      <c r="B46" s="1">
        <v>8.57968233362169</v>
      </c>
      <c r="C46" s="2">
        <v>0.511707696</v>
      </c>
      <c r="E46" s="1">
        <f t="shared" si="0"/>
        <v>16.7667643083908</v>
      </c>
      <c r="F46" s="5"/>
      <c r="G46" s="1">
        <f t="shared" si="1"/>
        <v>0.0596417997895728</v>
      </c>
      <c r="J46"/>
      <c r="K46"/>
      <c r="L46"/>
      <c r="M46"/>
      <c r="N46"/>
      <c r="O46"/>
    </row>
    <row r="47" spans="1:15">
      <c r="J47"/>
      <c r="K47"/>
      <c r="L47"/>
      <c r="M47"/>
      <c r="N47"/>
      <c r="O47"/>
    </row>
    <row r="48" spans="1:15">
      <c r="J48"/>
      <c r="K48"/>
      <c r="L48"/>
      <c r="M48"/>
      <c r="N48"/>
      <c r="O48"/>
    </row>
    <row r="49" spans="10:15">
      <c r="J49"/>
      <c r="K49"/>
      <c r="L49"/>
      <c r="M49"/>
      <c r="N49"/>
      <c r="O49"/>
    </row>
    <row r="50" spans="10:15">
      <c r="J50"/>
      <c r="K50"/>
      <c r="L50"/>
      <c r="M50"/>
      <c r="N50"/>
      <c r="O50"/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WPS_1662952654</cp:lastModifiedBy>
  <dcterms:created xsi:type="dcterms:W3CDTF">2023-05-12T11:23:00Z</dcterms:created>
  <dcterms:modified xsi:type="dcterms:W3CDTF">2026-03-26T07:32:12Z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554CCE521C184614ADBCB36817250228_12</vt:lpwstr>
  </property>
  <property fmtid="{D5CDD505-2E9C-101B-9397-08002B2CF9AE}" pid="4" name="CalculationRule">
    <vt:i4>0</vt:i4>
  </property>
</Properties>
</file>